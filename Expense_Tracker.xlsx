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90"/>
  </bookViews>
  <sheets>
    <sheet name="expense_tracker_P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1" l="1"/>
  <c r="N10" i="1"/>
  <c r="N11" i="1"/>
  <c r="B12" i="1"/>
  <c r="C12" i="1"/>
  <c r="D12" i="1"/>
  <c r="D31" i="1" s="1"/>
  <c r="E12" i="1"/>
  <c r="E31" i="1" s="1"/>
  <c r="F12" i="1"/>
  <c r="F31" i="1" s="1"/>
  <c r="G12" i="1"/>
  <c r="G31" i="1" s="1"/>
  <c r="H12" i="1"/>
  <c r="I12" i="1"/>
  <c r="J12" i="1"/>
  <c r="K12" i="1"/>
  <c r="L12" i="1"/>
  <c r="M12" i="1"/>
  <c r="N12" i="1"/>
  <c r="N18" i="1"/>
  <c r="N19" i="1"/>
  <c r="N20" i="1"/>
  <c r="N29" i="1" s="1"/>
  <c r="N21" i="1"/>
  <c r="N23" i="1"/>
  <c r="N24" i="1"/>
  <c r="N26" i="1"/>
  <c r="N27" i="1"/>
  <c r="N28" i="1"/>
  <c r="B29" i="1"/>
  <c r="C29" i="1"/>
  <c r="D29" i="1"/>
  <c r="E29" i="1"/>
  <c r="F29" i="1"/>
  <c r="G29" i="1"/>
  <c r="H29" i="1"/>
  <c r="I29" i="1"/>
  <c r="J29" i="1"/>
  <c r="K29" i="1"/>
  <c r="L29" i="1"/>
  <c r="M29" i="1"/>
  <c r="B31" i="1"/>
  <c r="C31" i="1"/>
  <c r="N31" i="1" l="1"/>
</calcChain>
</file>

<file path=xl/sharedStrings.xml><?xml version="1.0" encoding="utf-8"?>
<sst xmlns="http://schemas.openxmlformats.org/spreadsheetml/2006/main" count="50" uniqueCount="38">
  <si>
    <t>SAVINGS :</t>
  </si>
  <si>
    <t xml:space="preserve"> TOTAL SUM :</t>
  </si>
  <si>
    <t xml:space="preserve">vehicle </t>
  </si>
  <si>
    <t xml:space="preserve">train </t>
  </si>
  <si>
    <t>fuel</t>
  </si>
  <si>
    <t>Transport:</t>
  </si>
  <si>
    <t>dining</t>
  </si>
  <si>
    <t>grocery</t>
  </si>
  <si>
    <t>Food :</t>
  </si>
  <si>
    <t xml:space="preserve">Gas </t>
  </si>
  <si>
    <t>Electricity</t>
  </si>
  <si>
    <t>Phone</t>
  </si>
  <si>
    <t>Rent</t>
  </si>
  <si>
    <t>HOUSING:</t>
  </si>
  <si>
    <t xml:space="preserve">YEAR TO DATE </t>
  </si>
  <si>
    <t xml:space="preserve">DEC </t>
  </si>
  <si>
    <t>NOV</t>
  </si>
  <si>
    <t>OCT</t>
  </si>
  <si>
    <t>SEPT</t>
  </si>
  <si>
    <t>AUGUST</t>
  </si>
  <si>
    <t>JULY</t>
  </si>
  <si>
    <t>JUNE</t>
  </si>
  <si>
    <t>MAY</t>
  </si>
  <si>
    <t>APRIL</t>
  </si>
  <si>
    <t>MARCH</t>
  </si>
  <si>
    <t>FEB</t>
  </si>
  <si>
    <t>JAN</t>
  </si>
  <si>
    <t>items</t>
  </si>
  <si>
    <t xml:space="preserve">Expense Tracker </t>
  </si>
  <si>
    <t xml:space="preserve"> TOTAL INCOME :</t>
  </si>
  <si>
    <t>RENT</t>
  </si>
  <si>
    <t>SALARY</t>
  </si>
  <si>
    <t>DEC</t>
  </si>
  <si>
    <t xml:space="preserve">items </t>
  </si>
  <si>
    <t>INCOME</t>
  </si>
  <si>
    <t xml:space="preserve"> MONTHLY SAVING TARGET : 50000</t>
  </si>
  <si>
    <t xml:space="preserve">Personal Income and expense tracker 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</si>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</sst>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2" xfId="0" applyFont="1" applyBorder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2" xfId="0" applyBorder="1"/>
    <xf numFmtId="0" fontId="0" fillId="5" borderId="0" xfId="0" applyFill="1"/>
    <xf numFmtId="0" fontId="1" fillId="5" borderId="0" xfId="0" applyFont="1" applyFill="1"/>
    <xf numFmtId="0" fontId="1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34"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0" formatCode="General"/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</font>
    </dxf>
    <dxf>
      <border>
        <top style="medium">
          <color indexed="64"/>
        </top>
      </border>
    </dxf>
    <dxf>
      <numFmt numFmtId="0" formatCode="General"/>
    </dxf>
    <dxf>
      <border>
        <top style="medium">
          <color indexed="64"/>
        </top>
      </border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8:N12" totalsRowCount="1" totalsRowBorderDxfId="32">
  <autoFilter ref="A8:N11"/>
  <tableColumns count="14">
    <tableColumn id="1" name="items " totalsRowLabel=" TOTAL INCOME :" totalsRowDxfId="13"/>
    <tableColumn id="2" name="JAN" totalsRowFunction="custom" totalsRowDxfId="12">
      <totalsRowFormula>IF(SUBTOTAL(109,Table2[JAN])=0," ",SUBTOTAL(109,Table2[JAN]))</totalsRowFormula>
    </tableColumn>
    <tableColumn id="3" name="FEB" totalsRowFunction="custom" totalsRowDxfId="11">
      <totalsRowFormula>IF(SUBTOTAL(109,Table2[FEB])=0," ",SUBTOTAL(109,Table2[FEB]))</totalsRowFormula>
    </tableColumn>
    <tableColumn id="4" name="MARCH" totalsRowFunction="custom" totalsRowDxfId="10">
      <totalsRowFormula>IF(SUBTOTAL(109,Table2[MARCH])=0," ",SUBTOTAL(109,Table2[MARCH]))</totalsRowFormula>
    </tableColumn>
    <tableColumn id="5" name="APRIL" totalsRowFunction="custom" totalsRowDxfId="9">
      <totalsRowFormula>IF(SUBTOTAL(109,Table2[APRIL])=0," ",SUBTOTAL(109,Table2[APRIL]))</totalsRowFormula>
    </tableColumn>
    <tableColumn id="6" name="MAY" totalsRowFunction="custom" totalsRowDxfId="8">
      <totalsRowFormula>IF(SUBTOTAL(109,Table2[MAY])=0," ",SUBTOTAL(109,Table2[MAY]))</totalsRowFormula>
    </tableColumn>
    <tableColumn id="7" name="JUNE" totalsRowFunction="custom" totalsRowDxfId="7">
      <totalsRowFormula>IF(SUBTOTAL(109,Table2[JUNE])=0," ",SUBTOTAL(109,Table2[JUNE]))</totalsRowFormula>
    </tableColumn>
    <tableColumn id="8" name="JULY" totalsRowFunction="custom" totalsRowDxfId="6">
      <totalsRowFormula>IF(SUBTOTAL(109,Table2[JULY])=0," ",SUBTOTAL(109,Table2[JULY]))</totalsRowFormula>
    </tableColumn>
    <tableColumn id="9" name="AUGUST" totalsRowFunction="custom" totalsRowDxfId="5">
      <totalsRowFormula>IF(SUBTOTAL(109,Table2[AUGUST])=0," ",SUBTOTAL(109,Table2[AUGUST]))</totalsRowFormula>
    </tableColumn>
    <tableColumn id="10" name="SEPT" totalsRowFunction="custom" totalsRowDxfId="4">
      <totalsRowFormula>IF(SUBTOTAL(109,Table2[SEPT])=0," ",SUBTOTAL(109,Table2[SEPT]))</totalsRowFormula>
    </tableColumn>
    <tableColumn id="11" name="OCT" totalsRowFunction="custom" totalsRowDxfId="3">
      <totalsRowFormula>IF(SUBTOTAL(109,Table2[OCT])=0," ",SUBTOTAL(109,Table2[OCT]))</totalsRowFormula>
    </tableColumn>
    <tableColumn id="12" name="NOV" totalsRowFunction="custom" totalsRowDxfId="2">
      <totalsRowFormula>IF(SUBTOTAL(109,Table2[NOV])=0," ",SUBTOTAL(109,Table2[NOV]))</totalsRowFormula>
    </tableColumn>
    <tableColumn id="13" name="DEC" totalsRowFunction="custom" totalsRowDxfId="1">
      <totalsRowFormula>IF(SUBTOTAL(109,Table2[DEC])=0," ",SUBTOTAL(109,Table2[DEC]))</totalsRowFormula>
    </tableColumn>
    <tableColumn id="14" name="YEAR TO DATE " totalsRowFunction="custom" dataDxfId="31" totalsRowDxfId="0">
      <calculatedColumnFormula>SUM(Table2[[#This Row],[JAN]:[JUNE]])</calculatedColumnFormula>
      <totalsRowFormula>IF(SUBTOTAL(109,Table2[[YEAR TO DATE ]])=0," ",SUBTOTAL(109,Table2[[YEAR TO DATE ]]))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6:N29" totalsRowCount="1" totalsRowBorderDxfId="30">
  <autoFilter ref="A16:N28"/>
  <tableColumns count="14">
    <tableColumn id="1" name="items" totalsRowLabel=" TOTAL SUM :" dataDxfId="29" totalsRowDxfId="28"/>
    <tableColumn id="2" name="JAN" totalsRowFunction="custom" totalsRowDxfId="27">
      <totalsRowFormula>IF(SUBTOTAL(109,Table3[JAN])=0," ",SUBTOTAL(109,Table3[JAN]))</totalsRowFormula>
    </tableColumn>
    <tableColumn id="3" name="FEB" totalsRowFunction="custom" totalsRowDxfId="26">
      <totalsRowFormula>IF(SUBTOTAL(109,Table3[FEB])=0," ",SUBTOTAL(109,Table3[FEB]))</totalsRowFormula>
    </tableColumn>
    <tableColumn id="4" name="MARCH" totalsRowFunction="custom" totalsRowDxfId="25">
      <totalsRowFormula>IF(SUBTOTAL(109,Table3[MARCH])=0," ",SUBTOTAL(109,Table3[MARCH]))</totalsRowFormula>
    </tableColumn>
    <tableColumn id="5" name="APRIL" totalsRowFunction="custom" totalsRowDxfId="24">
      <totalsRowFormula>IF(SUBTOTAL(109,Table3[APRIL])=0," ",SUBTOTAL(109,Table3[APRIL]))</totalsRowFormula>
    </tableColumn>
    <tableColumn id="6" name="MAY" totalsRowFunction="custom" totalsRowDxfId="23">
      <totalsRowFormula>IF(SUBTOTAL(109,Table3[MAY])=0," ",SUBTOTAL(109,Table3[MAY]))</totalsRowFormula>
    </tableColumn>
    <tableColumn id="7" name="JUNE" totalsRowFunction="custom" totalsRowDxfId="22">
      <totalsRowFormula>IF(SUBTOTAL(109,Table3[JUNE])=0," ",SUBTOTAL(109,Table3[JUNE]))</totalsRowFormula>
    </tableColumn>
    <tableColumn id="8" name="JULY" totalsRowFunction="custom" totalsRowDxfId="21">
      <totalsRowFormula>IF(SUBTOTAL(109,Table3[JULY])=0," ",SUBTOTAL(109,Table3[JULY]))</totalsRowFormula>
    </tableColumn>
    <tableColumn id="9" name="AUGUST" totalsRowFunction="custom" totalsRowDxfId="20">
      <totalsRowFormula>IF(SUBTOTAL(109,Table3[AUGUST])=0," ",SUBTOTAL(109,Table3[AUGUST]))</totalsRowFormula>
    </tableColumn>
    <tableColumn id="10" name="SEPT" totalsRowFunction="custom" totalsRowDxfId="19">
      <totalsRowFormula>IF(SUBTOTAL(109,Table3[SEPT])=0," ",SUBTOTAL(109,Table3[SEPT]))</totalsRowFormula>
    </tableColumn>
    <tableColumn id="11" name="OCT" totalsRowFunction="custom" totalsRowDxfId="18">
      <totalsRowFormula>IF(SUBTOTAL(109,Table3[OCT])=0," ",SUBTOTAL(109,Table3[OCT]))</totalsRowFormula>
    </tableColumn>
    <tableColumn id="12" name="NOV" totalsRowFunction="custom" totalsRowDxfId="17">
      <totalsRowFormula>IF(SUBTOTAL(109,Table3[NOV])=0," ",SUBTOTAL(109,Table3[NOV]))</totalsRowFormula>
    </tableColumn>
    <tableColumn id="13" name="DEC " totalsRowFunction="custom" totalsRowDxfId="16">
      <totalsRowFormula>IF(SUBTOTAL(109,Table3[[DEC ]])=0," ",SUBTOTAL(109,Table3[[DEC ]]))</totalsRowFormula>
    </tableColumn>
    <tableColumn id="14" name="YEAR TO DATE " totalsRowFunction="custom" dataDxfId="15" totalsRowDxfId="14">
      <calculatedColumnFormula>SUM(Table3[[#This Row],[JAN]:[MAY]])</calculatedColumnFormula>
      <totalsRowFormula>IF(SUBTOTAL(109,Table3[[YEAR TO DATE ]])=0," ",SUBTOTAL(109,Table3[[YEAR TO DATE ]]))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N31"/>
  <sheetViews>
    <sheetView showGridLines="0" tabSelected="1" zoomScale="76" zoomScaleNormal="56" workbookViewId="0">
      <selection activeCell="A12" sqref="A12"/>
    </sheetView>
  </sheetViews>
  <sheetFormatPr defaultRowHeight="14.25" x14ac:dyDescent="0.45"/>
  <cols>
    <col min="1" max="1" width="28.53125" customWidth="1"/>
    <col min="9" max="9" width="9.3984375" customWidth="1"/>
    <col min="14" max="14" width="14.73046875" customWidth="1"/>
  </cols>
  <sheetData>
    <row r="2" spans="1:14" x14ac:dyDescent="0.45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45">
      <c r="A5" s="9" t="s">
        <v>35</v>
      </c>
      <c r="B5" s="8"/>
      <c r="C5" s="8"/>
    </row>
    <row r="7" spans="1:14" x14ac:dyDescent="0.45">
      <c r="A7" s="11" t="s">
        <v>34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45">
      <c r="A8" t="s">
        <v>33</v>
      </c>
      <c r="B8" t="s">
        <v>26</v>
      </c>
      <c r="C8" t="s">
        <v>25</v>
      </c>
      <c r="D8" t="s">
        <v>24</v>
      </c>
      <c r="E8" t="s">
        <v>23</v>
      </c>
      <c r="F8" t="s">
        <v>22</v>
      </c>
      <c r="G8" t="s">
        <v>21</v>
      </c>
      <c r="H8" t="s">
        <v>20</v>
      </c>
      <c r="I8" t="s">
        <v>19</v>
      </c>
      <c r="J8" t="s">
        <v>18</v>
      </c>
      <c r="K8" t="s">
        <v>17</v>
      </c>
      <c r="L8" t="s">
        <v>16</v>
      </c>
      <c r="M8" t="s">
        <v>32</v>
      </c>
      <c r="N8" t="s">
        <v>14</v>
      </c>
    </row>
    <row r="9" spans="1:14" x14ac:dyDescent="0.45">
      <c r="A9" t="s">
        <v>31</v>
      </c>
      <c r="B9">
        <v>50000</v>
      </c>
      <c r="C9">
        <v>50000</v>
      </c>
      <c r="D9">
        <v>50000</v>
      </c>
      <c r="E9">
        <v>50000</v>
      </c>
      <c r="F9">
        <v>50000</v>
      </c>
      <c r="G9">
        <v>50000</v>
      </c>
      <c r="N9">
        <f>SUM(Table2[[#This Row],[JAN]:[JUNE]])</f>
        <v>300000</v>
      </c>
    </row>
    <row r="10" spans="1:14" x14ac:dyDescent="0.45">
      <c r="A10" t="s">
        <v>30</v>
      </c>
      <c r="B10">
        <v>30000</v>
      </c>
      <c r="C10">
        <v>30000</v>
      </c>
      <c r="D10">
        <v>30000</v>
      </c>
      <c r="E10">
        <v>30000</v>
      </c>
      <c r="F10">
        <v>30000</v>
      </c>
      <c r="G10">
        <v>30000</v>
      </c>
      <c r="N10">
        <f>SUM(Table2[[#This Row],[JAN]:[JUNE]])</f>
        <v>180000</v>
      </c>
    </row>
    <row r="11" spans="1:14" ht="14.65" thickBot="1" x14ac:dyDescent="0.5">
      <c r="A11" t="s">
        <v>37</v>
      </c>
      <c r="B11">
        <v>10000</v>
      </c>
      <c r="C11">
        <v>10000</v>
      </c>
      <c r="D11">
        <v>10000</v>
      </c>
      <c r="E11">
        <v>10000</v>
      </c>
      <c r="F11">
        <v>10000</v>
      </c>
      <c r="G11">
        <v>10000</v>
      </c>
      <c r="N11">
        <f>SUM(Table2[[#This Row],[JAN]:[JUNE]])</f>
        <v>60000</v>
      </c>
    </row>
    <row r="12" spans="1:14" ht="14.65" thickBot="1" x14ac:dyDescent="0.5">
      <c r="A12" s="7" t="s">
        <v>29</v>
      </c>
      <c r="B12" s="2">
        <f>IF(SUBTOTAL(109,Table2[JAN])=0," ",SUBTOTAL(109,Table2[JAN]))</f>
        <v>90000</v>
      </c>
      <c r="C12" s="2">
        <f>IF(SUBTOTAL(109,Table2[FEB])=0," ",SUBTOTAL(109,Table2[FEB]))</f>
        <v>90000</v>
      </c>
      <c r="D12" s="2">
        <f>IF(SUBTOTAL(109,Table2[MARCH])=0," ",SUBTOTAL(109,Table2[MARCH]))</f>
        <v>90000</v>
      </c>
      <c r="E12" s="2">
        <f>IF(SUBTOTAL(109,Table2[APRIL])=0," ",SUBTOTAL(109,Table2[APRIL]))</f>
        <v>90000</v>
      </c>
      <c r="F12" s="2">
        <f>IF(SUBTOTAL(109,Table2[MAY])=0," ",SUBTOTAL(109,Table2[MAY]))</f>
        <v>90000</v>
      </c>
      <c r="G12" s="2">
        <f>IF(SUBTOTAL(109,Table2[JUNE])=0," ",SUBTOTAL(109,Table2[JUNE]))</f>
        <v>90000</v>
      </c>
      <c r="H12" s="2" t="str">
        <f>IF(SUBTOTAL(109,Table2[JULY])=0," ",SUBTOTAL(109,Table2[JULY]))</f>
        <v xml:space="preserve"> </v>
      </c>
      <c r="I12" s="2" t="str">
        <f>IF(SUBTOTAL(109,Table2[AUGUST])=0," ",SUBTOTAL(109,Table2[AUGUST]))</f>
        <v xml:space="preserve"> </v>
      </c>
      <c r="J12" s="2" t="str">
        <f>IF(SUBTOTAL(109,Table2[SEPT])=0," ",SUBTOTAL(109,Table2[SEPT]))</f>
        <v xml:space="preserve"> </v>
      </c>
      <c r="K12" s="2" t="str">
        <f>IF(SUBTOTAL(109,Table2[OCT])=0," ",SUBTOTAL(109,Table2[OCT]))</f>
        <v xml:space="preserve"> </v>
      </c>
      <c r="L12" s="2" t="str">
        <f>IF(SUBTOTAL(109,Table2[NOV])=0," ",SUBTOTAL(109,Table2[NOV]))</f>
        <v xml:space="preserve"> </v>
      </c>
      <c r="M12" s="2" t="str">
        <f>IF(SUBTOTAL(109,Table2[DEC])=0," ",SUBTOTAL(109,Table2[DEC]))</f>
        <v xml:space="preserve"> </v>
      </c>
      <c r="N12" s="2">
        <f>IF(SUBTOTAL(109,Table2[[YEAR TO DATE ]])=0," ",SUBTOTAL(109,Table2[[YEAR TO DATE ]]))</f>
        <v>540000</v>
      </c>
    </row>
    <row r="15" spans="1:14" x14ac:dyDescent="0.45">
      <c r="A15" s="11" t="s">
        <v>28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45">
      <c r="A16" t="s">
        <v>27</v>
      </c>
      <c r="B16" t="s">
        <v>26</v>
      </c>
      <c r="C16" t="s">
        <v>25</v>
      </c>
      <c r="D16" t="s">
        <v>24</v>
      </c>
      <c r="E16" t="s">
        <v>23</v>
      </c>
      <c r="F16" t="s">
        <v>22</v>
      </c>
      <c r="G16" t="s">
        <v>21</v>
      </c>
      <c r="H16" t="s">
        <v>20</v>
      </c>
      <c r="I16" t="s">
        <v>19</v>
      </c>
      <c r="J16" t="s">
        <v>18</v>
      </c>
      <c r="K16" t="s">
        <v>17</v>
      </c>
      <c r="L16" t="s">
        <v>16</v>
      </c>
      <c r="M16" t="s">
        <v>15</v>
      </c>
      <c r="N16" t="s">
        <v>14</v>
      </c>
    </row>
    <row r="17" spans="1:14" x14ac:dyDescent="0.45">
      <c r="A17" s="6" t="s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45">
      <c r="A18" s="4" t="s">
        <v>12</v>
      </c>
      <c r="B18">
        <v>12000</v>
      </c>
      <c r="C18">
        <v>12000</v>
      </c>
      <c r="D18">
        <v>12000</v>
      </c>
      <c r="E18">
        <v>12000</v>
      </c>
      <c r="F18">
        <v>12000</v>
      </c>
      <c r="G18">
        <v>12000</v>
      </c>
      <c r="N18">
        <f>SUM(Table3[[#This Row],[JAN]:[MAY]])</f>
        <v>60000</v>
      </c>
    </row>
    <row r="19" spans="1:14" x14ac:dyDescent="0.45">
      <c r="A19" s="4" t="s">
        <v>11</v>
      </c>
      <c r="B19">
        <v>200</v>
      </c>
      <c r="C19">
        <v>200</v>
      </c>
      <c r="D19">
        <v>200</v>
      </c>
      <c r="E19">
        <v>200</v>
      </c>
      <c r="F19">
        <v>200</v>
      </c>
      <c r="G19">
        <v>200</v>
      </c>
      <c r="N19">
        <f>SUM(Table3[[#This Row],[JAN]:[MAY]])</f>
        <v>1000</v>
      </c>
    </row>
    <row r="20" spans="1:14" x14ac:dyDescent="0.45">
      <c r="A20" s="4" t="s">
        <v>10</v>
      </c>
      <c r="B20">
        <v>4000</v>
      </c>
      <c r="C20">
        <v>4233</v>
      </c>
      <c r="D20">
        <v>4567</v>
      </c>
      <c r="E20">
        <v>4329</v>
      </c>
      <c r="F20">
        <v>4561</v>
      </c>
      <c r="G20">
        <v>4561</v>
      </c>
      <c r="N20">
        <f>SUM(Table3[[#This Row],[JAN]:[MAY]])</f>
        <v>21690</v>
      </c>
    </row>
    <row r="21" spans="1:14" x14ac:dyDescent="0.45">
      <c r="A21" s="4" t="s">
        <v>9</v>
      </c>
      <c r="B21">
        <v>1500</v>
      </c>
      <c r="C21">
        <v>1234</v>
      </c>
      <c r="D21">
        <v>1676</v>
      </c>
      <c r="E21">
        <v>1375</v>
      </c>
      <c r="F21">
        <v>1987</v>
      </c>
      <c r="G21">
        <v>1987</v>
      </c>
      <c r="N21">
        <f>SUM(Table3[[#This Row],[JAN]:[MAY]])</f>
        <v>7772</v>
      </c>
    </row>
    <row r="22" spans="1:14" x14ac:dyDescent="0.45">
      <c r="A22" s="6" t="s">
        <v>8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45">
      <c r="A23" s="4" t="s">
        <v>7</v>
      </c>
      <c r="B23">
        <v>3000</v>
      </c>
      <c r="C23">
        <v>4484</v>
      </c>
      <c r="D23">
        <v>5983</v>
      </c>
      <c r="E23">
        <v>2897</v>
      </c>
      <c r="F23">
        <v>1980</v>
      </c>
      <c r="G23">
        <v>1980</v>
      </c>
      <c r="N23">
        <f>SUM(Table3[[#This Row],[JAN]:[MAY]])</f>
        <v>18344</v>
      </c>
    </row>
    <row r="24" spans="1:14" x14ac:dyDescent="0.45">
      <c r="A24" s="4" t="s">
        <v>6</v>
      </c>
      <c r="B24">
        <v>10000</v>
      </c>
      <c r="C24">
        <v>2893</v>
      </c>
      <c r="D24">
        <v>17973</v>
      </c>
      <c r="E24">
        <v>1192</v>
      </c>
      <c r="F24">
        <v>5048</v>
      </c>
      <c r="G24">
        <v>5048</v>
      </c>
      <c r="N24">
        <f>SUM(Table3[[#This Row],[JAN]:[MAY]])</f>
        <v>37106</v>
      </c>
    </row>
    <row r="25" spans="1:14" x14ac:dyDescent="0.45">
      <c r="A25" s="6" t="s">
        <v>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x14ac:dyDescent="0.45">
      <c r="A26" s="4" t="s">
        <v>4</v>
      </c>
      <c r="B26">
        <v>7000</v>
      </c>
      <c r="C26">
        <v>2324</v>
      </c>
      <c r="D26">
        <v>5732</v>
      </c>
      <c r="E26">
        <v>1287</v>
      </c>
      <c r="F26">
        <v>9876</v>
      </c>
      <c r="G26">
        <v>9876</v>
      </c>
      <c r="N26">
        <f>SUM(Table3[[#This Row],[JAN]:[MAY]])</f>
        <v>26219</v>
      </c>
    </row>
    <row r="27" spans="1:14" x14ac:dyDescent="0.45">
      <c r="A27" s="4" t="s">
        <v>3</v>
      </c>
      <c r="B27">
        <v>600</v>
      </c>
      <c r="C27">
        <v>1200</v>
      </c>
      <c r="D27">
        <v>600</v>
      </c>
      <c r="E27">
        <v>600</v>
      </c>
      <c r="F27">
        <v>600</v>
      </c>
      <c r="G27">
        <v>600</v>
      </c>
      <c r="N27">
        <f>SUM(Table3[[#This Row],[JAN]:[MAY]])</f>
        <v>3600</v>
      </c>
    </row>
    <row r="28" spans="1:14" ht="14.65" thickBot="1" x14ac:dyDescent="0.5">
      <c r="A28" s="4" t="s">
        <v>2</v>
      </c>
      <c r="B28">
        <v>120</v>
      </c>
      <c r="C28">
        <v>345</v>
      </c>
      <c r="D28">
        <v>1200</v>
      </c>
      <c r="E28">
        <v>87</v>
      </c>
      <c r="F28">
        <v>200</v>
      </c>
      <c r="G28">
        <v>200</v>
      </c>
      <c r="N28">
        <f>SUM(Table3[[#This Row],[JAN]:[MAY]])</f>
        <v>1952</v>
      </c>
    </row>
    <row r="29" spans="1:14" ht="14.65" thickBot="1" x14ac:dyDescent="0.5">
      <c r="A29" s="3" t="s">
        <v>1</v>
      </c>
      <c r="B29" s="2">
        <f>IF(SUBTOTAL(109,Table3[JAN])=0," ",SUBTOTAL(109,Table3[JAN]))</f>
        <v>38420</v>
      </c>
      <c r="C29" s="2">
        <f>IF(SUBTOTAL(109,Table3[FEB])=0," ",SUBTOTAL(109,Table3[FEB]))</f>
        <v>28913</v>
      </c>
      <c r="D29" s="2">
        <f>IF(SUBTOTAL(109,Table3[MARCH])=0," ",SUBTOTAL(109,Table3[MARCH]))</f>
        <v>49931</v>
      </c>
      <c r="E29" s="2">
        <f>IF(SUBTOTAL(109,Table3[APRIL])=0," ",SUBTOTAL(109,Table3[APRIL]))</f>
        <v>23967</v>
      </c>
      <c r="F29" s="2">
        <f>IF(SUBTOTAL(109,Table3[MAY])=0," ",SUBTOTAL(109,Table3[MAY]))</f>
        <v>36452</v>
      </c>
      <c r="G29" s="2">
        <f>IF(SUBTOTAL(109,Table3[JUNE])=0," ",SUBTOTAL(109,Table3[JUNE]))</f>
        <v>36452</v>
      </c>
      <c r="H29" s="2" t="str">
        <f>IF(SUBTOTAL(109,Table3[JULY])=0," ",SUBTOTAL(109,Table3[JULY]))</f>
        <v xml:space="preserve"> </v>
      </c>
      <c r="I29" s="2" t="str">
        <f>IF(SUBTOTAL(109,Table3[AUGUST])=0," ",SUBTOTAL(109,Table3[AUGUST]))</f>
        <v xml:space="preserve"> </v>
      </c>
      <c r="J29" s="2" t="str">
        <f>IF(SUBTOTAL(109,Table3[SEPT])=0," ",SUBTOTAL(109,Table3[SEPT]))</f>
        <v xml:space="preserve"> </v>
      </c>
      <c r="K29" s="2" t="str">
        <f>IF(SUBTOTAL(109,Table3[OCT])=0," ",SUBTOTAL(109,Table3[OCT]))</f>
        <v xml:space="preserve"> </v>
      </c>
      <c r="L29" s="2" t="str">
        <f>IF(SUBTOTAL(109,Table3[NOV])=0," ",SUBTOTAL(109,Table3[NOV]))</f>
        <v xml:space="preserve"> </v>
      </c>
      <c r="M29" s="2" t="str">
        <f>IF(SUBTOTAL(109,Table3[[DEC ]])=0," ",SUBTOTAL(109,Table3[[DEC ]]))</f>
        <v xml:space="preserve"> </v>
      </c>
      <c r="N29" s="2">
        <f>IF(SUBTOTAL(109,Table3[[YEAR TO DATE ]])=0," ",SUBTOTAL(109,Table3[[YEAR TO DATE ]]))</f>
        <v>177683</v>
      </c>
    </row>
    <row r="31" spans="1:14" x14ac:dyDescent="0.45">
      <c r="A31" s="1" t="s">
        <v>0</v>
      </c>
      <c r="B31" s="1">
        <f>IF(Table2[[#Totals],[JAN]]-Table3[[#Totals],[JAN]]=0," ",Table2[[#Totals],[JAN]]-Table3[[#Totals],[JAN]])</f>
        <v>51580</v>
      </c>
      <c r="C31" s="1">
        <f>IF(Table2[[#Totals],[FEB]]-Table3[[#Totals],[FEB]]=0," ",Table2[[#Totals],[FEB]]-Table3[[#Totals],[FEB]])</f>
        <v>61087</v>
      </c>
      <c r="D31" s="1">
        <f>IF(Table2[[#Totals],[MARCH]]-Table3[[#Totals],[MARCH]]=0," ",Table2[[#Totals],[MARCH]]-Table3[[#Totals],[MARCH]])</f>
        <v>40069</v>
      </c>
      <c r="E31" s="1">
        <f>IF(Table2[[#Totals],[APRIL]]-Table3[[#Totals],[APRIL]]=0," ",Table2[[#Totals],[APRIL]]-Table3[[#Totals],[APRIL]])</f>
        <v>66033</v>
      </c>
      <c r="F31" s="1">
        <f>IF(Table2[[#Totals],[MAY]]-Table3[[#Totals],[MAY]]=0," ",Table2[[#Totals],[MAY]]-Table3[[#Totals],[MAY]])</f>
        <v>53548</v>
      </c>
      <c r="G31" s="1">
        <f>IF(Table2[[#Totals],[JUNE]]-Table3[[#Totals],[JUNE]]=0," ",Table2[[#Totals],[JUNE]]-Table3[[#Totals],[JUNE]])</f>
        <v>53548</v>
      </c>
      <c r="H31" s="1"/>
      <c r="I31" s="1"/>
      <c r="J31" s="1"/>
      <c r="K31" s="1"/>
      <c r="L31" s="1"/>
      <c r="M31" s="1"/>
      <c r="N31" s="1">
        <f>IF(Table2[[#Totals],[YEAR TO DATE ]]-Table3[[#Totals],[YEAR TO DATE ]]=0," ",Table2[[#Totals],[YEAR TO DATE ]]-Table3[[#Totals],[YEAR TO DATE ]])</f>
        <v>362317</v>
      </c>
    </row>
  </sheetData>
  <mergeCells count="3">
    <mergeCell ref="A7:N7"/>
    <mergeCell ref="A2:N3"/>
    <mergeCell ref="A15:N15"/>
  </mergeCells>
  <conditionalFormatting sqref="B31:N31">
    <cfRule type="cellIs" dxfId="33" priority="1" operator="lessThan">
      <formula>50000</formula>
    </cfRule>
  </conditionalFormatting>
  <pageMargins left="0.7" right="0.7" top="0.75" bottom="0.75" header="0.3" footer="0.3"/>
  <pageSetup scale="8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expense_tracker_P1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Ashmita</dc:creator>
  <cp:lastModifiedBy>Admin</cp:lastModifiedBy>
  <dcterms:created xsi:type="dcterms:W3CDTF">2026-08-21T13:28:43Z</dcterms:created>
  <dcterms:modified xsi:type="dcterms:W3CDTF">2026-08-21T13:31:58Z</dcterms:modified>
</cp:coreProperties>
</file>